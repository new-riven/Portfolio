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MLAB\Downloads\"/>
    </mc:Choice>
  </mc:AlternateContent>
  <bookViews>
    <workbookView xWindow="0" yWindow="0" windowWidth="28800" windowHeight="12300" activeTab="1"/>
  </bookViews>
  <sheets>
    <sheet name="Data Cleaning (backup) " sheetId="8" r:id="rId1"/>
    <sheet name="revenue_fact" sheetId="9" r:id="rId2"/>
    <sheet name="client_dim" sheetId="2" r:id="rId3"/>
    <sheet name="state_dim" sheetId="5" r:id="rId4"/>
    <sheet name="payment_dim" sheetId="6" r:id="rId5"/>
    <sheet name="department_dim" sheetId="7" r:id="rId6"/>
  </sheets>
  <definedNames>
    <definedName name="_xlcn.WorksheetConnection_DataCleaning_Ri.xlsxclient_dim1" hidden="1">client_dim[]</definedName>
    <definedName name="_xlcn.WorksheetConnection_DataCleaning_Ri.xlsxdepartment_dim1" hidden="1">department_dim[]</definedName>
    <definedName name="_xlcn.WorksheetConnection_DataCleaning_Ri.xlsxpayment_dim1" hidden="1">payment_dim[]</definedName>
    <definedName name="_xlcn.WorksheetConnection_DataCleaning_Ri.xlsxrevenue_fact1" hidden="1">revenue_fact[]</definedName>
    <definedName name="_xlcn.WorksheetConnection_DataCleaning_Ri.xlsxstate_dim1" hidden="1">state_dim[]</definedName>
    <definedName name="Clients">client_dim!$B$1:$C$29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lient_dim" name="client_dim" connection="WorksheetConnection_DataCleaning_Ri.xlsx!client_dim"/>
          <x15:modelTable id="revenue_fact" name="revenue_fact" connection="WorksheetConnection_DataCleaning_Ri.xlsx!revenue_fact"/>
          <x15:modelTable id="department_dim" name="department_dim" connection="WorksheetConnection_DataCleaning_Ri.xlsx!department_dim"/>
          <x15:modelTable id="payment_dim" name="payment_dim" connection="WorksheetConnection_DataCleaning_Ri.xlsx!payment_dim"/>
          <x15:modelTable id="state_dim" name="state_dim" connection="WorksheetConnection_DataCleaning_Ri.xlsx!state_dim"/>
        </x15:modelTables>
        <x15:modelRelationships>
          <x15:modelRelationship fromTable="revenue_fact" fromColumn="Department_ID" toTable="department_dim" toColumn="Dept_ID"/>
          <x15:modelRelationship fromTable="revenue_fact" fromColumn="Payment_ID" toTable="payment_dim" toColumn="Payment_ID"/>
          <x15:modelRelationship fromTable="revenue_fact" fromColumn="State_ID" toTable="state_dim" toColumn="State_ID"/>
          <x15:modelRelationship fromTable="revenue_fact" fromColumn="Client_ID" toTable="client_dim" toColumn="Clien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9" l="1"/>
  <c r="I29" i="9" l="1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G15" i="9"/>
  <c r="I15" i="9" s="1"/>
  <c r="G14" i="9"/>
  <c r="I14" i="9" s="1"/>
  <c r="I13" i="9"/>
  <c r="I12" i="9"/>
  <c r="I11" i="9"/>
  <c r="I10" i="9"/>
  <c r="G9" i="9"/>
  <c r="I9" i="9" s="1"/>
  <c r="I8" i="9"/>
  <c r="I7" i="9"/>
  <c r="I6" i="9"/>
  <c r="G5" i="9"/>
  <c r="I5" i="9" s="1"/>
  <c r="I4" i="9"/>
  <c r="I3" i="9"/>
  <c r="I2" i="9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G15" i="8"/>
  <c r="I15" i="8" s="1"/>
  <c r="G14" i="8"/>
  <c r="I14" i="8" s="1"/>
  <c r="I13" i="8"/>
  <c r="I12" i="8"/>
  <c r="I11" i="8"/>
  <c r="I10" i="8"/>
  <c r="G9" i="8"/>
  <c r="I9" i="8" s="1"/>
  <c r="I8" i="8"/>
  <c r="I7" i="8"/>
  <c r="I6" i="8"/>
  <c r="G5" i="8"/>
  <c r="I5" i="8" s="1"/>
  <c r="I4" i="8"/>
  <c r="I3" i="8"/>
  <c r="I2" i="8"/>
  <c r="D2" i="2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DataCleaning_Ri.xlsx!client_dim" type="102" refreshedVersion="6" minRefreshableVersion="5">
    <extLst>
      <ext xmlns:x15="http://schemas.microsoft.com/office/spreadsheetml/2010/11/main" uri="{DE250136-89BD-433C-8126-D09CA5730AF9}">
        <x15:connection id="client_dim">
          <x15:rangePr sourceName="_xlcn.WorksheetConnection_DataCleaning_Ri.xlsxclient_dim1"/>
        </x15:connection>
      </ext>
    </extLst>
  </connection>
  <connection id="3" name="WorksheetConnection_DataCleaning_Ri.xlsx!department_dim" type="102" refreshedVersion="6" minRefreshableVersion="5">
    <extLst>
      <ext xmlns:x15="http://schemas.microsoft.com/office/spreadsheetml/2010/11/main" uri="{DE250136-89BD-433C-8126-D09CA5730AF9}">
        <x15:connection id="department_dim">
          <x15:rangePr sourceName="_xlcn.WorksheetConnection_DataCleaning_Ri.xlsxdepartment_dim1"/>
        </x15:connection>
      </ext>
    </extLst>
  </connection>
  <connection id="4" name="WorksheetConnection_DataCleaning_Ri.xlsx!payment_dim" type="102" refreshedVersion="6" minRefreshableVersion="5">
    <extLst>
      <ext xmlns:x15="http://schemas.microsoft.com/office/spreadsheetml/2010/11/main" uri="{DE250136-89BD-433C-8126-D09CA5730AF9}">
        <x15:connection id="payment_dim">
          <x15:rangePr sourceName="_xlcn.WorksheetConnection_DataCleaning_Ri.xlsxpayment_dim1"/>
        </x15:connection>
      </ext>
    </extLst>
  </connection>
  <connection id="5" name="WorksheetConnection_DataCleaning_Ri.xlsx!revenue_fact" type="102" refreshedVersion="6" minRefreshableVersion="5">
    <extLst>
      <ext xmlns:x15="http://schemas.microsoft.com/office/spreadsheetml/2010/11/main" uri="{DE250136-89BD-433C-8126-D09CA5730AF9}">
        <x15:connection id="revenue_fact">
          <x15:rangePr sourceName="_xlcn.WorksheetConnection_DataCleaning_Ri.xlsxrevenue_fact1"/>
        </x15:connection>
      </ext>
    </extLst>
  </connection>
  <connection id="6" name="WorksheetConnection_DataCleaning_Ri.xlsx!state_dim" type="102" refreshedVersion="6" minRefreshableVersion="5">
    <extLst>
      <ext xmlns:x15="http://schemas.microsoft.com/office/spreadsheetml/2010/11/main" uri="{DE250136-89BD-433C-8126-D09CA5730AF9}">
        <x15:connection id="state_dim">
          <x15:rangePr sourceName="_xlcn.WorksheetConnection_DataCleaning_Ri.xlsxstate_dim1"/>
        </x15:connection>
      </ext>
    </extLst>
  </connection>
</connections>
</file>

<file path=xl/sharedStrings.xml><?xml version="1.0" encoding="utf-8"?>
<sst xmlns="http://schemas.openxmlformats.org/spreadsheetml/2006/main" count="450" uniqueCount="156">
  <si>
    <t>Date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</si>
  <si>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</si>
  <si>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</si>
  <si>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</si>
  <si>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</si>
  <si>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</si>
  <si>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</si>
  <si>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</si>
  <si>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</si>
  <si>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</si>
  <si>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</si>
  <si>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>Payment</t>
  </si>
  <si>
    <t>Card</t>
  </si>
  <si>
    <t>PayPal</t>
  </si>
  <si>
    <t>Check</t>
  </si>
  <si>
    <t>Transfer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</si>
  <si>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</si>
  <si>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</si>
  <si>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</si>
  <si>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</si>
  <si>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</si>
  <si>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</si>
  <si>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</si>
  <si>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</si>
  <si>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</si>
  <si>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</si>
  <si>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</si>
  <si>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</si>
  <si>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</si>
  <si>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</si>
  <si>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</si>
  <si>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</si>
  <si>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</si>
  <si>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</si>
  <si>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</si>
  <si>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</si>
  <si>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</si>
  <si>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</si>
  <si>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</si>
  <si>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</si>
  <si>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</si>
  <si>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</si>
  <si>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</si>
  <si>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</si>
  <si>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Contacts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</si>
  <si>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</si>
  <si>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</si>
  <si>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</si>
  <si>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</si>
  <si>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</si>
  <si>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</si>
  <si>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</si>
  <si>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</si>
  <si>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</si>
  <si>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</si>
  <si>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</si>
  <si>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</si>
  <si>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</si>
  <si>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</si>
  <si>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</si>
  <si>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</si>
  <si>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</si>
  <si>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</si>
  <si>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</si>
  <si>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</si>
  <si>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</si>
  <si>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</si>
  <si>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</si>
  <si>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State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</si>
  <si>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</si>
  <si>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</si>
  <si>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</si>
  <si>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</si>
  <si>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</si>
  <si>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</si>
  <si>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</si>
  <si>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</si>
  <si>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Others</t>
  </si>
  <si>
    <t>Client_ID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</si>
  <si>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</si>
  <si>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</si>
  <si>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</si>
  <si>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</si>
  <si>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</si>
  <si>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</si>
  <si>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</si>
  <si>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</si>
  <si>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</si>
  <si>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</si>
  <si>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</si>
  <si>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</si>
  <si>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</si>
  <si>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</si>
  <si>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</si>
  <si>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</si>
  <si>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</si>
  <si>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</si>
  <si>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</si>
  <si>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</si>
  <si>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</si>
  <si>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</si>
  <si>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</si>
  <si>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</si>
  <si>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</si>
  <si>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</si>
  <si>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</si>
  <si>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</si>
  <si>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State_ID</t>
  </si>
  <si>
    <t>Payment_ID</t>
  </si>
  <si>
    <t>Dept_ID</t>
  </si>
  <si>
    <t>D-101</t>
  </si>
  <si>
    <t>D-102</t>
  </si>
  <si>
    <t>D-103</t>
  </si>
  <si>
    <t>D-104</t>
  </si>
  <si>
    <t>P-101</t>
  </si>
  <si>
    <t>P-102</t>
  </si>
  <si>
    <t>P-103</t>
  </si>
  <si>
    <t>P-104</t>
  </si>
  <si>
    <t>P-105</t>
  </si>
  <si>
    <t>S-101</t>
  </si>
  <si>
    <t>S-102</t>
  </si>
  <si>
    <t>S-103</t>
  </si>
  <si>
    <t>S-104</t>
  </si>
  <si>
    <t>TRANS_ID</t>
  </si>
  <si>
    <t>T-101</t>
  </si>
  <si>
    <t>T-102</t>
  </si>
  <si>
    <t>T-103</t>
  </si>
  <si>
    <t>T-104</t>
  </si>
  <si>
    <t>T-105</t>
  </si>
  <si>
    <t>T-106</t>
  </si>
  <si>
    <t>T-107</t>
  </si>
  <si>
    <t>T-108</t>
  </si>
  <si>
    <t>T-109</t>
  </si>
  <si>
    <t>T-110</t>
  </si>
  <si>
    <t>T-111</t>
  </si>
  <si>
    <t>T-112</t>
  </si>
  <si>
    <t>T-113</t>
  </si>
  <si>
    <t>T-114</t>
  </si>
  <si>
    <t>T-115</t>
  </si>
  <si>
    <t>T-116</t>
  </si>
  <si>
    <t>T-117</t>
  </si>
  <si>
    <t>T-118</t>
  </si>
  <si>
    <t>T-119</t>
  </si>
  <si>
    <t>T-120</t>
  </si>
  <si>
    <t>T-121</t>
  </si>
  <si>
    <t>T-122</t>
  </si>
  <si>
    <t>T-123</t>
  </si>
  <si>
    <t>T-124</t>
  </si>
  <si>
    <t>T-125</t>
  </si>
  <si>
    <t>T-126</t>
  </si>
  <si>
    <t>T-127</t>
  </si>
  <si>
    <t>T-128</t>
  </si>
  <si>
    <t>Department_ID</t>
  </si>
  <si>
    <t>Client2</t>
  </si>
  <si>
    <t>T-129</t>
  </si>
  <si>
    <t>D-105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</si>
</sst>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_);[Red]\(&quot;$&quot;#,##0\)"/>
    <numFmt numFmtId="165" formatCode="[$$-409]#,##0.00;[Red][$$-409]#,##0.0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 applyAlignment="1">
      <alignment horizontal="center"/>
    </xf>
    <xf numFmtId="14" fontId="0" fillId="0" borderId="0" xfId="0" applyNumberFormat="1"/>
    <xf numFmtId="49" fontId="0" fillId="0" borderId="0" xfId="0" applyNumberFormat="1"/>
    <xf numFmtId="165" fontId="0" fillId="0" borderId="0" xfId="0" applyNumberFormat="1" applyAlignment="1">
      <alignment horizontal="center"/>
    </xf>
    <xf numFmtId="9" fontId="0" fillId="0" borderId="0" xfId="1" applyFont="1"/>
    <xf numFmtId="0" fontId="2" fillId="2" borderId="0" xfId="0" applyFont="1" applyFill="1" applyAlignment="1">
      <alignment horizontal="center"/>
    </xf>
    <xf numFmtId="9" fontId="3" fillId="0" borderId="0" xfId="1" applyFont="1"/>
  </cellXfs>
  <cellStyles count="2">
    <cellStyle name="Normal" xfId="0" builtinId="0"/>
    <cellStyle name="Percent" xfId="1" builtinId="5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165" formatCode="[$$-409]#,##0.00;[Red][$$-409]#,##0.00"/>
      <alignment horizontal="center" vertical="bottom" textRotation="0" wrapText="0" indent="0" justifyLastLine="0" shrinkToFit="0" readingOrder="0"/>
    </dxf>
    <dxf>
      <numFmt numFmtId="165" formatCode="[$$-409]#,##0.00;[Red][$$-409]#,##0.00"/>
      <alignment horizontal="center" vertical="bottom" textRotation="0" wrapText="0" indent="0" justifyLastLine="0" shrinkToFit="0" readingOrder="0"/>
    </dxf>
    <dxf>
      <numFmt numFmtId="30" formatCode="@"/>
    </dxf>
    <dxf>
      <numFmt numFmtId="19" formatCode="dd/mm/yyyy"/>
    </dxf>
    <dxf>
      <numFmt numFmtId="19" formatCode="dd/mm/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/Relationships>
</file>

<file path=xl/tables/table1.xml><?xml version="1.0" encoding="utf-8"?>
<table xmlns="http://schemas.openxmlformats.org/spreadsheetml/2006/main" id="1" name="revenue_fact" displayName="revenue_fact" ref="A1:I30" totalsRowShown="0" headerRowDxfId="6">
  <autoFilter ref="A1:I30"/>
  <tableColumns count="9">
    <tableColumn id="1" name="TRANS_ID"/>
    <tableColumn id="2" name="Date" dataDxfId="12"/>
    <tableColumn id="3" name="Client_ID" dataDxfId="11"/>
    <tableColumn id="4" name="Department_ID" dataDxfId="10"/>
    <tableColumn id="5" name="State_ID"/>
    <tableColumn id="6" name="Payment_ID"/>
    <tableColumn id="7" name="Revenue" dataDxfId="9"/>
    <tableColumn id="8" name="Profit" dataDxfId="8"/>
    <tableColumn id="9" name="Profit Margin" dataDxfId="7" dataCellStyle="Percent">
      <calculatedColumnFormula>IFERROR(H2/G2,0)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2" name="client_dim" displayName="client_dim" ref="A1:D29" totalsRowShown="0" headerRowDxfId="3">
  <autoFilter ref="A1:D29"/>
  <tableColumns count="4">
    <tableColumn id="1" name="Client" dataDxfId="5"/>
    <tableColumn id="2" name="Client_ID"/>
    <tableColumn id="3" name="Client2" dataDxfId="4"/>
    <tableColumn id="4" name="Contacts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id="3" name="state_dim" displayName="state_dim" ref="A1:B5" totalsRowShown="0" headerRowDxfId="2">
  <autoFilter ref="A1:B5"/>
  <tableColumns count="2">
    <tableColumn id="1" name="State"/>
    <tableColumn id="2" name="State_ID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id="4" name="payment_dim" displayName="payment_dim" ref="A1:B6" totalsRowShown="0" headerRowDxfId="1">
  <autoFilter ref="A1:B6"/>
  <tableColumns count="2">
    <tableColumn id="1" name="Payment"/>
    <tableColumn id="2" name="Payment_ID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id="5" name="department_dim" displayName="department_dim" ref="A1:B5" totalsRowShown="0" headerRowDxfId="0">
  <autoFilter ref="A1:B5"/>
  <tableColumns count="2">
    <tableColumn id="1" name="Department"/>
    <tableColumn id="2" name="Dept_ID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zoomScaleNormal="100" workbookViewId="0">
      <selection sqref="A1:XFD1"/>
    </sheetView>
  </sheetViews>
  <sheetFormatPr defaultColWidth="11" defaultRowHeight="15.75" x14ac:dyDescent="0.25"/>
  <cols>
    <col min="1" max="1" width="10.375" customWidth="1"/>
    <col min="2" max="2" width="32.375" bestFit="1" customWidth="1"/>
    <col min="3" max="3" width="15.375" bestFit="1" customWidth="1"/>
    <col min="4" max="4" width="11.25" bestFit="1" customWidth="1"/>
    <col min="5" max="5" width="8.75" bestFit="1" customWidth="1"/>
    <col min="6" max="6" width="8.5" bestFit="1" customWidth="1"/>
    <col min="7" max="8" width="8.875" bestFit="1" customWidth="1"/>
    <col min="9" max="9" width="12.375" bestFit="1" customWidth="1"/>
  </cols>
  <sheetData>
    <row r="1" spans="1:9" x14ac:dyDescent="0.25">
      <c r="A1" s="6" t="s">
        <v>0</v>
      </c>
      <c r="B1" s="6" t="s">
        <v>4</v>
      </c>
      <c r="C1" s="6" t="s">
        <v>44</v>
      </c>
      <c r="D1" s="6" t="s">
        <v>5</v>
      </c>
      <c r="E1" s="6" t="s">
        <v>68</v>
      </c>
      <c r="F1" s="6" t="s">
        <v>11</v>
      </c>
      <c r="G1" s="6" t="s">
        <v>1</v>
      </c>
      <c r="H1" s="6" t="s">
        <v>2</v>
      </c>
      <c r="I1" s="6" t="s">
        <v>3</v>
      </c>
    </row>
    <row r="2" spans="1:9" x14ac:dyDescent="0.25">
      <c r="A2" s="2">
        <v>45076</v>
      </c>
      <c r="B2" s="3" t="s">
        <v>16</v>
      </c>
      <c r="C2" t="s">
        <v>45</v>
      </c>
      <c r="D2" t="s">
        <v>69</v>
      </c>
      <c r="E2" t="s">
        <v>70</v>
      </c>
      <c r="F2" t="s">
        <v>15</v>
      </c>
      <c r="G2" s="4">
        <v>4500</v>
      </c>
      <c r="H2" s="4">
        <v>598</v>
      </c>
      <c r="I2" s="5">
        <f t="shared" ref="I2:I29" si="0">IFERROR(H2/G2,0)</f>
        <v>0.13288888888888889</v>
      </c>
    </row>
    <row r="3" spans="1:9" x14ac:dyDescent="0.25">
      <c r="A3" s="2">
        <v>45076</v>
      </c>
      <c r="B3" s="3" t="s">
        <v>17</v>
      </c>
      <c r="C3" t="s">
        <v>46</v>
      </c>
      <c r="D3" t="s">
        <v>71</v>
      </c>
      <c r="E3" t="s">
        <v>72</v>
      </c>
      <c r="F3" t="s">
        <v>13</v>
      </c>
      <c r="G3" s="4">
        <v>3800</v>
      </c>
      <c r="H3" s="4">
        <v>1045</v>
      </c>
      <c r="I3" s="5">
        <f t="shared" si="0"/>
        <v>0.27500000000000002</v>
      </c>
    </row>
    <row r="4" spans="1:9" x14ac:dyDescent="0.25">
      <c r="A4" s="2">
        <v>45076</v>
      </c>
      <c r="B4" s="3" t="s">
        <v>18</v>
      </c>
      <c r="C4" t="s">
        <v>47</v>
      </c>
      <c r="D4" t="s">
        <v>71</v>
      </c>
      <c r="E4" t="s">
        <v>72</v>
      </c>
      <c r="F4" t="s">
        <v>77</v>
      </c>
      <c r="G4" s="4">
        <v>3712.5</v>
      </c>
      <c r="H4" s="4">
        <v>1009</v>
      </c>
      <c r="I4" s="5">
        <f t="shared" si="0"/>
        <v>0.2717845117845118</v>
      </c>
    </row>
    <row r="5" spans="1:9" x14ac:dyDescent="0.25">
      <c r="A5" s="2">
        <v>45076</v>
      </c>
      <c r="B5" s="3" t="s">
        <v>19</v>
      </c>
      <c r="C5" t="s">
        <v>6</v>
      </c>
      <c r="D5" t="s">
        <v>73</v>
      </c>
      <c r="E5" t="s">
        <v>74</v>
      </c>
      <c r="F5" t="s">
        <v>77</v>
      </c>
      <c r="G5" s="4">
        <f>4994</f>
        <v>4994</v>
      </c>
      <c r="H5" s="4">
        <v>779</v>
      </c>
      <c r="I5" s="5">
        <f t="shared" si="0"/>
        <v>0.15598718462154584</v>
      </c>
    </row>
    <row r="6" spans="1:9" x14ac:dyDescent="0.25">
      <c r="A6" s="2">
        <v>45076</v>
      </c>
      <c r="B6" s="3" t="s">
        <v>20</v>
      </c>
      <c r="C6" t="s">
        <v>48</v>
      </c>
      <c r="D6" t="s">
        <v>73</v>
      </c>
      <c r="E6" t="s">
        <v>74</v>
      </c>
      <c r="F6" t="s">
        <v>14</v>
      </c>
      <c r="G6" s="4">
        <v>5000</v>
      </c>
      <c r="H6" s="4">
        <v>684</v>
      </c>
      <c r="I6" s="5">
        <f t="shared" si="0"/>
        <v>0.1368</v>
      </c>
    </row>
    <row r="7" spans="1:9" x14ac:dyDescent="0.25">
      <c r="A7" s="2">
        <v>45077</v>
      </c>
      <c r="B7" s="3" t="s">
        <v>21</v>
      </c>
      <c r="C7" t="s">
        <v>49</v>
      </c>
      <c r="D7" t="s">
        <v>69</v>
      </c>
      <c r="E7" t="s">
        <v>70</v>
      </c>
      <c r="F7" t="s">
        <v>15</v>
      </c>
      <c r="G7" s="4">
        <v>6100</v>
      </c>
      <c r="H7" s="4">
        <v>544</v>
      </c>
      <c r="I7" s="5">
        <f t="shared" si="0"/>
        <v>8.9180327868852466E-2</v>
      </c>
    </row>
    <row r="8" spans="1:9" x14ac:dyDescent="0.25">
      <c r="A8" s="2">
        <v>45077</v>
      </c>
      <c r="B8" s="3" t="s">
        <v>22</v>
      </c>
      <c r="C8" t="s">
        <v>50</v>
      </c>
      <c r="D8" t="s">
        <v>69</v>
      </c>
      <c r="E8" t="s">
        <v>70</v>
      </c>
      <c r="F8" t="s">
        <v>15</v>
      </c>
      <c r="G8" s="4">
        <v>4625</v>
      </c>
      <c r="H8" s="4">
        <v>670</v>
      </c>
      <c r="I8" s="5">
        <f t="shared" si="0"/>
        <v>0.14486486486486486</v>
      </c>
    </row>
    <row r="9" spans="1:9" x14ac:dyDescent="0.25">
      <c r="A9" s="2">
        <v>45077</v>
      </c>
      <c r="B9" s="3" t="s">
        <v>23</v>
      </c>
      <c r="C9" t="s">
        <v>51</v>
      </c>
      <c r="D9" t="s">
        <v>69</v>
      </c>
      <c r="E9" t="s">
        <v>70</v>
      </c>
      <c r="F9" t="s">
        <v>15</v>
      </c>
      <c r="G9" s="4">
        <f>5039</f>
        <v>5039</v>
      </c>
      <c r="H9" s="4">
        <v>2045</v>
      </c>
      <c r="I9" s="5">
        <f t="shared" si="0"/>
        <v>0.40583449097043062</v>
      </c>
    </row>
    <row r="10" spans="1:9" x14ac:dyDescent="0.25">
      <c r="A10" s="2">
        <v>45077</v>
      </c>
      <c r="B10" s="3" t="s">
        <v>24</v>
      </c>
      <c r="C10" t="s">
        <v>7</v>
      </c>
      <c r="D10" t="s">
        <v>69</v>
      </c>
      <c r="E10" t="s">
        <v>70</v>
      </c>
      <c r="F10" t="s">
        <v>12</v>
      </c>
      <c r="G10" s="4">
        <v>3600</v>
      </c>
      <c r="H10" s="4">
        <v>1564</v>
      </c>
      <c r="I10" s="5">
        <f t="shared" si="0"/>
        <v>0.43444444444444447</v>
      </c>
    </row>
    <row r="11" spans="1:9" x14ac:dyDescent="0.25">
      <c r="A11" s="2">
        <v>45077</v>
      </c>
      <c r="B11" s="3" t="s">
        <v>25</v>
      </c>
      <c r="C11" t="s">
        <v>8</v>
      </c>
      <c r="D11" t="s">
        <v>69</v>
      </c>
      <c r="E11" t="s">
        <v>70</v>
      </c>
      <c r="F11" t="s">
        <v>14</v>
      </c>
      <c r="G11" s="4">
        <v>5100</v>
      </c>
      <c r="H11" s="4">
        <v>1220</v>
      </c>
      <c r="I11" s="5">
        <f t="shared" si="0"/>
        <v>0.23921568627450981</v>
      </c>
    </row>
    <row r="12" spans="1:9" x14ac:dyDescent="0.25">
      <c r="A12" s="2">
        <v>45077</v>
      </c>
      <c r="B12" s="3" t="s">
        <v>26</v>
      </c>
      <c r="C12" t="s">
        <v>52</v>
      </c>
      <c r="D12" t="s">
        <v>69</v>
      </c>
      <c r="E12" t="s">
        <v>70</v>
      </c>
      <c r="F12" t="s">
        <v>14</v>
      </c>
      <c r="G12" s="4">
        <v>4750</v>
      </c>
      <c r="H12" s="4">
        <v>1435</v>
      </c>
      <c r="I12" s="5">
        <f t="shared" si="0"/>
        <v>0.30210526315789471</v>
      </c>
    </row>
    <row r="13" spans="1:9" x14ac:dyDescent="0.25">
      <c r="A13" s="2">
        <v>45077</v>
      </c>
      <c r="B13" s="3" t="s">
        <v>27</v>
      </c>
      <c r="C13" t="s">
        <v>53</v>
      </c>
      <c r="D13" t="s">
        <v>73</v>
      </c>
      <c r="E13" t="s">
        <v>74</v>
      </c>
      <c r="F13" t="s">
        <v>15</v>
      </c>
      <c r="G13" s="4">
        <v>6000</v>
      </c>
      <c r="H13" s="4">
        <v>998</v>
      </c>
      <c r="I13" s="5">
        <f t="shared" si="0"/>
        <v>0.16633333333333333</v>
      </c>
    </row>
    <row r="14" spans="1:9" x14ac:dyDescent="0.25">
      <c r="A14" s="2">
        <v>45077</v>
      </c>
      <c r="B14" s="3" t="s">
        <v>28</v>
      </c>
      <c r="C14" t="s">
        <v>54</v>
      </c>
      <c r="D14" t="s">
        <v>75</v>
      </c>
      <c r="E14" t="s">
        <v>76</v>
      </c>
      <c r="F14" t="s">
        <v>14</v>
      </c>
      <c r="G14" s="4">
        <f>5039</f>
        <v>5039</v>
      </c>
      <c r="H14" s="4">
        <v>780</v>
      </c>
      <c r="I14" s="5">
        <f t="shared" si="0"/>
        <v>0.15479261758285373</v>
      </c>
    </row>
    <row r="15" spans="1:9" x14ac:dyDescent="0.25">
      <c r="A15" s="2">
        <v>45078</v>
      </c>
      <c r="B15" s="3" t="s">
        <v>29</v>
      </c>
      <c r="C15" t="s">
        <v>9</v>
      </c>
      <c r="D15" t="s">
        <v>75</v>
      </c>
      <c r="E15" t="s">
        <v>76</v>
      </c>
      <c r="F15" t="s">
        <v>12</v>
      </c>
      <c r="G15" s="4">
        <f>4994</f>
        <v>4994</v>
      </c>
      <c r="H15" s="4">
        <v>1044</v>
      </c>
      <c r="I15" s="5">
        <f t="shared" si="0"/>
        <v>0.20905086103323989</v>
      </c>
    </row>
    <row r="16" spans="1:9" x14ac:dyDescent="0.25">
      <c r="A16" s="2">
        <v>45078</v>
      </c>
      <c r="B16" s="3" t="s">
        <v>30</v>
      </c>
      <c r="C16" t="s">
        <v>55</v>
      </c>
      <c r="D16" t="s">
        <v>75</v>
      </c>
      <c r="E16" t="s">
        <v>76</v>
      </c>
      <c r="F16" t="s">
        <v>15</v>
      </c>
      <c r="G16" s="4">
        <v>3712.5</v>
      </c>
      <c r="H16" s="4">
        <v>1222</v>
      </c>
      <c r="I16" s="5">
        <f t="shared" si="0"/>
        <v>0.32915824915824915</v>
      </c>
    </row>
    <row r="17" spans="1:9" x14ac:dyDescent="0.25">
      <c r="A17" s="2">
        <v>45078</v>
      </c>
      <c r="B17" s="3" t="s">
        <v>31</v>
      </c>
      <c r="C17" t="s">
        <v>56</v>
      </c>
      <c r="D17" t="s">
        <v>75</v>
      </c>
      <c r="E17" t="s">
        <v>76</v>
      </c>
      <c r="F17" t="s">
        <v>15</v>
      </c>
      <c r="G17" s="4">
        <v>4950</v>
      </c>
      <c r="H17" s="4">
        <v>1065</v>
      </c>
      <c r="I17" s="5">
        <f t="shared" si="0"/>
        <v>0.21515151515151515</v>
      </c>
    </row>
    <row r="18" spans="1:9" x14ac:dyDescent="0.25">
      <c r="A18" s="2">
        <v>45078</v>
      </c>
      <c r="B18" s="3" t="s">
        <v>32</v>
      </c>
      <c r="C18" t="s">
        <v>57</v>
      </c>
      <c r="D18" t="s">
        <v>73</v>
      </c>
      <c r="E18" t="s">
        <v>74</v>
      </c>
      <c r="F18" t="s">
        <v>15</v>
      </c>
      <c r="G18" s="4">
        <v>4750</v>
      </c>
      <c r="H18" s="4">
        <v>810</v>
      </c>
      <c r="I18" s="5">
        <f t="shared" si="0"/>
        <v>0.17052631578947369</v>
      </c>
    </row>
    <row r="19" spans="1:9" x14ac:dyDescent="0.25">
      <c r="A19" s="2">
        <v>45078</v>
      </c>
      <c r="B19" s="3" t="s">
        <v>33</v>
      </c>
      <c r="C19" t="s">
        <v>58</v>
      </c>
      <c r="D19" t="s">
        <v>73</v>
      </c>
      <c r="E19" t="s">
        <v>74</v>
      </c>
      <c r="F19" t="s">
        <v>15</v>
      </c>
      <c r="G19" s="4">
        <v>7320</v>
      </c>
      <c r="H19" s="4">
        <v>933</v>
      </c>
      <c r="I19" s="5">
        <f t="shared" si="0"/>
        <v>0.12745901639344262</v>
      </c>
    </row>
    <row r="20" spans="1:9" x14ac:dyDescent="0.25">
      <c r="A20" s="2">
        <v>45078</v>
      </c>
      <c r="B20" s="3" t="s">
        <v>34</v>
      </c>
      <c r="C20" t="s">
        <v>59</v>
      </c>
      <c r="D20" t="s">
        <v>75</v>
      </c>
      <c r="E20" t="s">
        <v>76</v>
      </c>
      <c r="F20" t="s">
        <v>15</v>
      </c>
      <c r="G20" s="4">
        <v>5087.5</v>
      </c>
      <c r="H20" s="4">
        <v>655</v>
      </c>
      <c r="I20" s="5">
        <f t="shared" si="0"/>
        <v>0.12874692874692875</v>
      </c>
    </row>
    <row r="21" spans="1:9" x14ac:dyDescent="0.25">
      <c r="A21" s="2">
        <v>45078</v>
      </c>
      <c r="B21" s="3" t="s">
        <v>35</v>
      </c>
      <c r="C21" t="s">
        <v>60</v>
      </c>
      <c r="D21" t="s">
        <v>75</v>
      </c>
      <c r="E21" t="s">
        <v>76</v>
      </c>
      <c r="F21" t="s">
        <v>15</v>
      </c>
      <c r="G21" s="4">
        <v>4500</v>
      </c>
      <c r="H21" s="4">
        <v>722</v>
      </c>
      <c r="I21" s="5">
        <f t="shared" si="0"/>
        <v>0.16044444444444445</v>
      </c>
    </row>
    <row r="22" spans="1:9" x14ac:dyDescent="0.25">
      <c r="A22" s="2">
        <v>45078</v>
      </c>
      <c r="B22" s="3" t="s">
        <v>36</v>
      </c>
      <c r="C22" t="s">
        <v>61</v>
      </c>
      <c r="D22" t="s">
        <v>75</v>
      </c>
      <c r="E22" t="s">
        <v>76</v>
      </c>
      <c r="F22" t="s">
        <v>12</v>
      </c>
      <c r="G22" s="4">
        <v>4250</v>
      </c>
      <c r="H22" s="4">
        <v>901</v>
      </c>
      <c r="I22" s="5">
        <f t="shared" si="0"/>
        <v>0.21199999999999999</v>
      </c>
    </row>
    <row r="23" spans="1:9" x14ac:dyDescent="0.25">
      <c r="A23" s="2">
        <v>45079</v>
      </c>
      <c r="B23" s="3" t="s">
        <v>37</v>
      </c>
      <c r="C23" t="s">
        <v>62</v>
      </c>
      <c r="D23" t="s">
        <v>75</v>
      </c>
      <c r="E23" t="s">
        <v>76</v>
      </c>
      <c r="F23" t="s">
        <v>13</v>
      </c>
      <c r="G23" s="4">
        <v>5250</v>
      </c>
      <c r="H23" s="4">
        <v>1349</v>
      </c>
      <c r="I23" s="5">
        <f t="shared" si="0"/>
        <v>0.25695238095238093</v>
      </c>
    </row>
    <row r="24" spans="1:9" x14ac:dyDescent="0.25">
      <c r="A24" s="2">
        <v>45079</v>
      </c>
      <c r="B24" s="3" t="s">
        <v>38</v>
      </c>
      <c r="C24" t="s">
        <v>63</v>
      </c>
      <c r="D24" t="s">
        <v>71</v>
      </c>
      <c r="E24" t="s">
        <v>72</v>
      </c>
      <c r="F24" t="s">
        <v>13</v>
      </c>
      <c r="G24" s="4">
        <v>6500</v>
      </c>
      <c r="H24" s="4">
        <v>1288</v>
      </c>
      <c r="I24" s="5">
        <f t="shared" si="0"/>
        <v>0.19815384615384615</v>
      </c>
    </row>
    <row r="25" spans="1:9" x14ac:dyDescent="0.25">
      <c r="A25" s="2">
        <v>45079</v>
      </c>
      <c r="B25" s="3" t="s">
        <v>39</v>
      </c>
      <c r="C25" t="s">
        <v>64</v>
      </c>
      <c r="D25" t="s">
        <v>71</v>
      </c>
      <c r="E25" t="s">
        <v>72</v>
      </c>
      <c r="F25" t="s">
        <v>13</v>
      </c>
      <c r="G25" s="4">
        <v>7500</v>
      </c>
      <c r="H25" s="4">
        <v>1664</v>
      </c>
      <c r="I25" s="5">
        <f t="shared" si="0"/>
        <v>0.22186666666666666</v>
      </c>
    </row>
    <row r="26" spans="1:9" x14ac:dyDescent="0.25">
      <c r="A26" s="2">
        <v>45079</v>
      </c>
      <c r="B26" s="3" t="s">
        <v>40</v>
      </c>
      <c r="C26" t="s">
        <v>65</v>
      </c>
      <c r="D26" t="s">
        <v>71</v>
      </c>
      <c r="E26" t="s">
        <v>72</v>
      </c>
      <c r="F26" t="s">
        <v>15</v>
      </c>
      <c r="G26" s="4">
        <v>5500</v>
      </c>
      <c r="H26" s="4">
        <v>1320</v>
      </c>
      <c r="I26" s="5">
        <f t="shared" si="0"/>
        <v>0.24</v>
      </c>
    </row>
    <row r="27" spans="1:9" x14ac:dyDescent="0.25">
      <c r="A27" s="2">
        <v>45079</v>
      </c>
      <c r="B27" s="3" t="s">
        <v>41</v>
      </c>
      <c r="C27" t="s">
        <v>66</v>
      </c>
      <c r="D27" t="s">
        <v>71</v>
      </c>
      <c r="E27" t="s">
        <v>72</v>
      </c>
      <c r="F27" t="s">
        <v>15</v>
      </c>
      <c r="G27" s="4">
        <v>4625</v>
      </c>
      <c r="H27" s="4">
        <v>1001</v>
      </c>
      <c r="I27" s="5">
        <f t="shared" si="0"/>
        <v>0.21643243243243243</v>
      </c>
    </row>
    <row r="28" spans="1:9" x14ac:dyDescent="0.25">
      <c r="A28" s="2">
        <v>45079</v>
      </c>
      <c r="B28" s="3" t="s">
        <v>42</v>
      </c>
      <c r="C28" t="s">
        <v>67</v>
      </c>
      <c r="D28" t="s">
        <v>71</v>
      </c>
      <c r="E28" t="s">
        <v>72</v>
      </c>
      <c r="F28" t="s">
        <v>15</v>
      </c>
      <c r="G28" s="4">
        <v>4500</v>
      </c>
      <c r="H28" s="4">
        <v>960</v>
      </c>
      <c r="I28" s="5">
        <f t="shared" si="0"/>
        <v>0.21333333333333335</v>
      </c>
    </row>
    <row r="29" spans="1:9" x14ac:dyDescent="0.25">
      <c r="A29" s="2">
        <v>45079</v>
      </c>
      <c r="B29" s="3" t="s">
        <v>43</v>
      </c>
      <c r="C29" t="s">
        <v>10</v>
      </c>
      <c r="D29" t="s">
        <v>71</v>
      </c>
      <c r="E29" t="s">
        <v>72</v>
      </c>
      <c r="F29" t="s">
        <v>12</v>
      </c>
      <c r="G29" s="4">
        <v>5400</v>
      </c>
      <c r="H29" s="4">
        <v>540</v>
      </c>
      <c r="I29" s="5">
        <f t="shared" si="0"/>
        <v>0.1</v>
      </c>
    </row>
    <row r="30" spans="1:9" x14ac:dyDescent="0.25">
      <c r="G3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zoomScale="115" zoomScaleNormal="115" workbookViewId="0">
      <selection activeCell="K11" activeCellId="1" sqref="A30:I30 K11"/>
    </sheetView>
  </sheetViews>
  <sheetFormatPr defaultColWidth="11" defaultRowHeight="15.75" x14ac:dyDescent="0.25"/>
  <cols>
    <col min="1" max="1" width="10.625" customWidth="1"/>
    <col min="2" max="2" width="10.375" customWidth="1"/>
    <col min="3" max="3" width="9.75" customWidth="1"/>
    <col min="4" max="4" width="15" customWidth="1"/>
    <col min="5" max="5" width="9.375" customWidth="1"/>
    <col min="6" max="6" width="12.5" customWidth="1"/>
    <col min="7" max="7" width="9.625" customWidth="1"/>
    <col min="8" max="8" width="8.875" bestFit="1" customWidth="1"/>
    <col min="9" max="9" width="13.25" customWidth="1"/>
  </cols>
  <sheetData>
    <row r="1" spans="1:9" x14ac:dyDescent="0.25">
      <c r="A1" s="6" t="s">
        <v>123</v>
      </c>
      <c r="B1" s="6" t="s">
        <v>0</v>
      </c>
      <c r="C1" s="6" t="s">
        <v>78</v>
      </c>
      <c r="D1" s="6" t="s">
        <v>152</v>
      </c>
      <c r="E1" s="6" t="s">
        <v>107</v>
      </c>
      <c r="F1" s="6" t="s">
        <v>108</v>
      </c>
      <c r="G1" s="6" t="s">
        <v>1</v>
      </c>
      <c r="H1" s="6" t="s">
        <v>2</v>
      </c>
      <c r="I1" s="6" t="s">
        <v>3</v>
      </c>
    </row>
    <row r="2" spans="1:9" x14ac:dyDescent="0.25">
      <c r="A2" t="s">
        <v>124</v>
      </c>
      <c r="B2" s="2">
        <v>45076</v>
      </c>
      <c r="C2" s="2" t="s">
        <v>79</v>
      </c>
      <c r="D2" s="3" t="s">
        <v>111</v>
      </c>
      <c r="E2" t="s">
        <v>122</v>
      </c>
      <c r="F2" t="s">
        <v>118</v>
      </c>
      <c r="G2" s="4">
        <v>4500</v>
      </c>
      <c r="H2" s="4">
        <v>598</v>
      </c>
      <c r="I2" s="5">
        <f t="shared" ref="I2:I29" si="0">IFERROR(H2/G2,0)</f>
        <v>0.13288888888888889</v>
      </c>
    </row>
    <row r="3" spans="1:9" x14ac:dyDescent="0.25">
      <c r="A3" t="s">
        <v>125</v>
      </c>
      <c r="B3" s="2">
        <v>45076</v>
      </c>
      <c r="C3" s="2" t="s">
        <v>101</v>
      </c>
      <c r="D3" s="3" t="s">
        <v>113</v>
      </c>
      <c r="E3" t="s">
        <v>121</v>
      </c>
      <c r="F3" t="s">
        <v>117</v>
      </c>
      <c r="G3" s="4">
        <v>3800</v>
      </c>
      <c r="H3" s="4">
        <v>1045</v>
      </c>
      <c r="I3" s="5">
        <f t="shared" si="0"/>
        <v>0.27500000000000002</v>
      </c>
    </row>
    <row r="4" spans="1:9" x14ac:dyDescent="0.25">
      <c r="A4" t="s">
        <v>126</v>
      </c>
      <c r="B4" s="2">
        <v>45076</v>
      </c>
      <c r="C4" s="2" t="s">
        <v>99</v>
      </c>
      <c r="D4" s="3" t="s">
        <v>113</v>
      </c>
      <c r="E4" t="s">
        <v>121</v>
      </c>
      <c r="F4" t="s">
        <v>116</v>
      </c>
      <c r="G4" s="4">
        <v>3712.5</v>
      </c>
      <c r="H4" s="4">
        <v>1009</v>
      </c>
      <c r="I4" s="5">
        <f t="shared" si="0"/>
        <v>0.2717845117845118</v>
      </c>
    </row>
    <row r="5" spans="1:9" x14ac:dyDescent="0.25">
      <c r="A5" t="s">
        <v>127</v>
      </c>
      <c r="B5" s="2">
        <v>45076</v>
      </c>
      <c r="C5" s="2" t="s">
        <v>104</v>
      </c>
      <c r="D5" s="3" t="s">
        <v>112</v>
      </c>
      <c r="E5" t="s">
        <v>120</v>
      </c>
      <c r="F5" t="s">
        <v>116</v>
      </c>
      <c r="G5" s="4">
        <f>4994</f>
        <v>4994</v>
      </c>
      <c r="H5" s="4">
        <v>779</v>
      </c>
      <c r="I5" s="5">
        <f t="shared" si="0"/>
        <v>0.15598718462154584</v>
      </c>
    </row>
    <row r="6" spans="1:9" x14ac:dyDescent="0.25">
      <c r="A6" t="s">
        <v>128</v>
      </c>
      <c r="B6" s="2">
        <v>45076</v>
      </c>
      <c r="C6" s="2" t="s">
        <v>102</v>
      </c>
      <c r="D6" s="3" t="s">
        <v>112</v>
      </c>
      <c r="E6" t="s">
        <v>120</v>
      </c>
      <c r="F6" t="s">
        <v>115</v>
      </c>
      <c r="G6" s="4">
        <v>5000</v>
      </c>
      <c r="H6" s="4">
        <v>684</v>
      </c>
      <c r="I6" s="5">
        <f t="shared" si="0"/>
        <v>0.1368</v>
      </c>
    </row>
    <row r="7" spans="1:9" x14ac:dyDescent="0.25">
      <c r="A7" t="s">
        <v>129</v>
      </c>
      <c r="B7" s="2">
        <v>45077</v>
      </c>
      <c r="C7" s="2" t="s">
        <v>94</v>
      </c>
      <c r="D7" s="3" t="s">
        <v>111</v>
      </c>
      <c r="E7" t="s">
        <v>122</v>
      </c>
      <c r="F7" t="s">
        <v>118</v>
      </c>
      <c r="G7" s="4">
        <v>6100</v>
      </c>
      <c r="H7" s="4">
        <v>544</v>
      </c>
      <c r="I7" s="5">
        <f t="shared" si="0"/>
        <v>8.9180327868852466E-2</v>
      </c>
    </row>
    <row r="8" spans="1:9" x14ac:dyDescent="0.25">
      <c r="A8" t="s">
        <v>130</v>
      </c>
      <c r="B8" s="2">
        <v>45077</v>
      </c>
      <c r="C8" s="2" t="s">
        <v>98</v>
      </c>
      <c r="D8" s="3" t="s">
        <v>111</v>
      </c>
      <c r="E8" t="s">
        <v>122</v>
      </c>
      <c r="F8" t="s">
        <v>118</v>
      </c>
      <c r="G8" s="4">
        <v>4625</v>
      </c>
      <c r="H8" s="4">
        <v>670</v>
      </c>
      <c r="I8" s="5">
        <f t="shared" si="0"/>
        <v>0.14486486486486486</v>
      </c>
    </row>
    <row r="9" spans="1:9" x14ac:dyDescent="0.25">
      <c r="A9" t="s">
        <v>131</v>
      </c>
      <c r="B9" s="2">
        <v>45077</v>
      </c>
      <c r="C9" s="2" t="s">
        <v>84</v>
      </c>
      <c r="D9" s="3" t="s">
        <v>111</v>
      </c>
      <c r="E9" t="s">
        <v>122</v>
      </c>
      <c r="F9" t="s">
        <v>118</v>
      </c>
      <c r="G9" s="4">
        <f>5039</f>
        <v>5039</v>
      </c>
      <c r="H9" s="4">
        <v>2045</v>
      </c>
      <c r="I9" s="5">
        <f t="shared" si="0"/>
        <v>0.40583449097043062</v>
      </c>
    </row>
    <row r="10" spans="1:9" x14ac:dyDescent="0.25">
      <c r="A10" t="s">
        <v>132</v>
      </c>
      <c r="B10" s="2">
        <v>45077</v>
      </c>
      <c r="C10" s="2" t="s">
        <v>81</v>
      </c>
      <c r="D10" s="3" t="s">
        <v>111</v>
      </c>
      <c r="E10" t="s">
        <v>122</v>
      </c>
      <c r="F10" t="s">
        <v>114</v>
      </c>
      <c r="G10" s="4">
        <v>3600</v>
      </c>
      <c r="H10" s="4">
        <v>1564</v>
      </c>
      <c r="I10" s="5">
        <f t="shared" si="0"/>
        <v>0.43444444444444447</v>
      </c>
    </row>
    <row r="11" spans="1:9" x14ac:dyDescent="0.25">
      <c r="A11" t="s">
        <v>133</v>
      </c>
      <c r="B11" s="2">
        <v>45077</v>
      </c>
      <c r="C11" s="2" t="s">
        <v>106</v>
      </c>
      <c r="D11" s="3" t="s">
        <v>111</v>
      </c>
      <c r="E11" t="s">
        <v>122</v>
      </c>
      <c r="F11" t="s">
        <v>115</v>
      </c>
      <c r="G11" s="4">
        <v>5100</v>
      </c>
      <c r="H11" s="4">
        <v>1220</v>
      </c>
      <c r="I11" s="5">
        <f t="shared" si="0"/>
        <v>0.23921568627450981</v>
      </c>
    </row>
    <row r="12" spans="1:9" x14ac:dyDescent="0.25">
      <c r="A12" t="s">
        <v>134</v>
      </c>
      <c r="B12" s="2">
        <v>45077</v>
      </c>
      <c r="C12" s="2" t="s">
        <v>100</v>
      </c>
      <c r="D12" s="3" t="s">
        <v>111</v>
      </c>
      <c r="E12" t="s">
        <v>122</v>
      </c>
      <c r="F12" t="s">
        <v>115</v>
      </c>
      <c r="G12" s="4">
        <v>4750</v>
      </c>
      <c r="H12" s="4">
        <v>1435</v>
      </c>
      <c r="I12" s="5">
        <f t="shared" si="0"/>
        <v>0.30210526315789471</v>
      </c>
    </row>
    <row r="13" spans="1:9" x14ac:dyDescent="0.25">
      <c r="A13" t="s">
        <v>135</v>
      </c>
      <c r="B13" s="2">
        <v>45077</v>
      </c>
      <c r="C13" s="2" t="s">
        <v>86</v>
      </c>
      <c r="D13" s="3" t="s">
        <v>112</v>
      </c>
      <c r="E13" t="s">
        <v>120</v>
      </c>
      <c r="F13" t="s">
        <v>118</v>
      </c>
      <c r="G13" s="4">
        <v>6000</v>
      </c>
      <c r="H13" s="4">
        <v>998</v>
      </c>
      <c r="I13" s="5">
        <f t="shared" si="0"/>
        <v>0.16633333333333333</v>
      </c>
    </row>
    <row r="14" spans="1:9" x14ac:dyDescent="0.25">
      <c r="A14" t="s">
        <v>136</v>
      </c>
      <c r="B14" s="2">
        <v>45077</v>
      </c>
      <c r="C14" s="2" t="s">
        <v>96</v>
      </c>
      <c r="D14" s="3" t="s">
        <v>110</v>
      </c>
      <c r="E14" t="s">
        <v>119</v>
      </c>
      <c r="F14" t="s">
        <v>115</v>
      </c>
      <c r="G14" s="4">
        <f>5039</f>
        <v>5039</v>
      </c>
      <c r="H14" s="4">
        <v>780</v>
      </c>
      <c r="I14" s="5">
        <f t="shared" si="0"/>
        <v>0.15479261758285373</v>
      </c>
    </row>
    <row r="15" spans="1:9" x14ac:dyDescent="0.25">
      <c r="A15" t="s">
        <v>137</v>
      </c>
      <c r="B15" s="2">
        <v>45078</v>
      </c>
      <c r="C15" s="2" t="s">
        <v>88</v>
      </c>
      <c r="D15" s="3" t="s">
        <v>110</v>
      </c>
      <c r="E15" t="s">
        <v>119</v>
      </c>
      <c r="F15" t="s">
        <v>114</v>
      </c>
      <c r="G15" s="4">
        <f>4994</f>
        <v>4994</v>
      </c>
      <c r="H15" s="4">
        <v>1044</v>
      </c>
      <c r="I15" s="5">
        <f t="shared" si="0"/>
        <v>0.20905086103323989</v>
      </c>
    </row>
    <row r="16" spans="1:9" x14ac:dyDescent="0.25">
      <c r="A16" t="s">
        <v>138</v>
      </c>
      <c r="B16" s="2">
        <v>45078</v>
      </c>
      <c r="C16" s="2" t="s">
        <v>105</v>
      </c>
      <c r="D16" s="3" t="s">
        <v>110</v>
      </c>
      <c r="E16" t="s">
        <v>119</v>
      </c>
      <c r="F16" t="s">
        <v>118</v>
      </c>
      <c r="G16" s="4">
        <v>3712.5</v>
      </c>
      <c r="H16" s="4">
        <v>1222</v>
      </c>
      <c r="I16" s="5">
        <f t="shared" si="0"/>
        <v>0.32915824915824915</v>
      </c>
    </row>
    <row r="17" spans="1:9" x14ac:dyDescent="0.25">
      <c r="A17" t="s">
        <v>139</v>
      </c>
      <c r="B17" s="2">
        <v>45078</v>
      </c>
      <c r="C17" s="2" t="s">
        <v>103</v>
      </c>
      <c r="D17" s="3" t="s">
        <v>110</v>
      </c>
      <c r="E17" t="s">
        <v>119</v>
      </c>
      <c r="F17" t="s">
        <v>118</v>
      </c>
      <c r="G17" s="4">
        <v>4950</v>
      </c>
      <c r="H17" s="4">
        <v>1065</v>
      </c>
      <c r="I17" s="5">
        <f t="shared" si="0"/>
        <v>0.21515151515151515</v>
      </c>
    </row>
    <row r="18" spans="1:9" x14ac:dyDescent="0.25">
      <c r="A18" t="s">
        <v>140</v>
      </c>
      <c r="B18" s="2">
        <v>45078</v>
      </c>
      <c r="C18" s="2" t="s">
        <v>83</v>
      </c>
      <c r="D18" s="3" t="s">
        <v>112</v>
      </c>
      <c r="E18" t="s">
        <v>120</v>
      </c>
      <c r="F18" t="s">
        <v>118</v>
      </c>
      <c r="G18" s="4">
        <v>4750</v>
      </c>
      <c r="H18" s="4">
        <v>810</v>
      </c>
      <c r="I18" s="5">
        <f t="shared" si="0"/>
        <v>0.17052631578947369</v>
      </c>
    </row>
    <row r="19" spans="1:9" x14ac:dyDescent="0.25">
      <c r="A19" t="s">
        <v>141</v>
      </c>
      <c r="B19" s="2">
        <v>45078</v>
      </c>
      <c r="C19" s="2" t="s">
        <v>82</v>
      </c>
      <c r="D19" s="3" t="s">
        <v>112</v>
      </c>
      <c r="E19" t="s">
        <v>120</v>
      </c>
      <c r="F19" t="s">
        <v>118</v>
      </c>
      <c r="G19" s="4">
        <v>7320</v>
      </c>
      <c r="H19" s="4">
        <v>933</v>
      </c>
      <c r="I19" s="5">
        <f t="shared" si="0"/>
        <v>0.12745901639344262</v>
      </c>
    </row>
    <row r="20" spans="1:9" x14ac:dyDescent="0.25">
      <c r="A20" t="s">
        <v>142</v>
      </c>
      <c r="B20" s="2">
        <v>45078</v>
      </c>
      <c r="C20" s="2" t="s">
        <v>80</v>
      </c>
      <c r="D20" s="3" t="s">
        <v>110</v>
      </c>
      <c r="E20" t="s">
        <v>119</v>
      </c>
      <c r="F20" t="s">
        <v>118</v>
      </c>
      <c r="G20" s="4">
        <v>5087.5</v>
      </c>
      <c r="H20" s="4">
        <v>655</v>
      </c>
      <c r="I20" s="5">
        <f t="shared" si="0"/>
        <v>0.12874692874692875</v>
      </c>
    </row>
    <row r="21" spans="1:9" x14ac:dyDescent="0.25">
      <c r="A21" t="s">
        <v>143</v>
      </c>
      <c r="B21" s="2">
        <v>45078</v>
      </c>
      <c r="C21" s="2" t="s">
        <v>92</v>
      </c>
      <c r="D21" s="3" t="s">
        <v>110</v>
      </c>
      <c r="E21" t="s">
        <v>119</v>
      </c>
      <c r="F21" t="s">
        <v>118</v>
      </c>
      <c r="G21" s="4">
        <v>4500</v>
      </c>
      <c r="H21" s="4">
        <v>722</v>
      </c>
      <c r="I21" s="5">
        <f t="shared" si="0"/>
        <v>0.16044444444444445</v>
      </c>
    </row>
    <row r="22" spans="1:9" x14ac:dyDescent="0.25">
      <c r="A22" t="s">
        <v>144</v>
      </c>
      <c r="B22" s="2">
        <v>45078</v>
      </c>
      <c r="C22" s="2" t="s">
        <v>91</v>
      </c>
      <c r="D22" s="3" t="s">
        <v>110</v>
      </c>
      <c r="E22" t="s">
        <v>119</v>
      </c>
      <c r="F22" t="s">
        <v>114</v>
      </c>
      <c r="G22" s="4">
        <v>4250</v>
      </c>
      <c r="H22" s="4">
        <v>901</v>
      </c>
      <c r="I22" s="5">
        <f t="shared" si="0"/>
        <v>0.21199999999999999</v>
      </c>
    </row>
    <row r="23" spans="1:9" x14ac:dyDescent="0.25">
      <c r="A23" t="s">
        <v>145</v>
      </c>
      <c r="B23" s="2">
        <v>45079</v>
      </c>
      <c r="C23" s="2" t="s">
        <v>97</v>
      </c>
      <c r="D23" s="3" t="s">
        <v>110</v>
      </c>
      <c r="E23" t="s">
        <v>119</v>
      </c>
      <c r="F23" t="s">
        <v>117</v>
      </c>
      <c r="G23" s="4">
        <v>5250</v>
      </c>
      <c r="H23" s="4">
        <v>1349</v>
      </c>
      <c r="I23" s="5">
        <f t="shared" si="0"/>
        <v>0.25695238095238093</v>
      </c>
    </row>
    <row r="24" spans="1:9" x14ac:dyDescent="0.25">
      <c r="A24" t="s">
        <v>146</v>
      </c>
      <c r="B24" s="2">
        <v>45079</v>
      </c>
      <c r="C24" s="2" t="s">
        <v>85</v>
      </c>
      <c r="D24" s="3" t="s">
        <v>113</v>
      </c>
      <c r="E24" t="s">
        <v>121</v>
      </c>
      <c r="F24" t="s">
        <v>117</v>
      </c>
      <c r="G24" s="4">
        <v>6500</v>
      </c>
      <c r="H24" s="4">
        <v>1288</v>
      </c>
      <c r="I24" s="5">
        <f t="shared" si="0"/>
        <v>0.19815384615384615</v>
      </c>
    </row>
    <row r="25" spans="1:9" x14ac:dyDescent="0.25">
      <c r="A25" t="s">
        <v>147</v>
      </c>
      <c r="B25" s="2">
        <v>45079</v>
      </c>
      <c r="C25" s="2" t="s">
        <v>87</v>
      </c>
      <c r="D25" s="3" t="s">
        <v>113</v>
      </c>
      <c r="E25" t="s">
        <v>121</v>
      </c>
      <c r="F25" t="s">
        <v>117</v>
      </c>
      <c r="G25" s="4">
        <v>7500</v>
      </c>
      <c r="H25" s="4">
        <v>1664</v>
      </c>
      <c r="I25" s="5">
        <f t="shared" si="0"/>
        <v>0.22186666666666666</v>
      </c>
    </row>
    <row r="26" spans="1:9" x14ac:dyDescent="0.25">
      <c r="A26" t="s">
        <v>148</v>
      </c>
      <c r="B26" s="2">
        <v>45079</v>
      </c>
      <c r="C26" s="2" t="s">
        <v>93</v>
      </c>
      <c r="D26" s="3" t="s">
        <v>113</v>
      </c>
      <c r="E26" t="s">
        <v>121</v>
      </c>
      <c r="F26" t="s">
        <v>118</v>
      </c>
      <c r="G26" s="4">
        <v>5500</v>
      </c>
      <c r="H26" s="4">
        <v>1320</v>
      </c>
      <c r="I26" s="5">
        <f t="shared" si="0"/>
        <v>0.24</v>
      </c>
    </row>
    <row r="27" spans="1:9" x14ac:dyDescent="0.25">
      <c r="A27" t="s">
        <v>149</v>
      </c>
      <c r="B27" s="2">
        <v>45079</v>
      </c>
      <c r="C27" s="2" t="s">
        <v>89</v>
      </c>
      <c r="D27" s="3" t="s">
        <v>113</v>
      </c>
      <c r="E27" t="s">
        <v>121</v>
      </c>
      <c r="F27" t="s">
        <v>118</v>
      </c>
      <c r="G27" s="4">
        <v>4625</v>
      </c>
      <c r="H27" s="4">
        <v>1001</v>
      </c>
      <c r="I27" s="5">
        <f t="shared" si="0"/>
        <v>0.21643243243243243</v>
      </c>
    </row>
    <row r="28" spans="1:9" x14ac:dyDescent="0.25">
      <c r="A28" t="s">
        <v>150</v>
      </c>
      <c r="B28" s="2">
        <v>45079</v>
      </c>
      <c r="C28" s="2" t="s">
        <v>90</v>
      </c>
      <c r="D28" s="3" t="s">
        <v>113</v>
      </c>
      <c r="E28" t="s">
        <v>121</v>
      </c>
      <c r="F28" t="s">
        <v>118</v>
      </c>
      <c r="G28" s="4">
        <v>4500</v>
      </c>
      <c r="H28" s="4">
        <v>960</v>
      </c>
      <c r="I28" s="5">
        <f t="shared" si="0"/>
        <v>0.21333333333333335</v>
      </c>
    </row>
    <row r="29" spans="1:9" x14ac:dyDescent="0.25">
      <c r="A29" t="s">
        <v>151</v>
      </c>
      <c r="B29" s="2">
        <v>45079</v>
      </c>
      <c r="C29" s="2" t="s">
        <v>95</v>
      </c>
      <c r="D29" s="3" t="s">
        <v>113</v>
      </c>
      <c r="E29" t="s">
        <v>121</v>
      </c>
      <c r="F29" t="s">
        <v>114</v>
      </c>
      <c r="G29" s="4">
        <v>5400</v>
      </c>
      <c r="H29" s="4">
        <v>540</v>
      </c>
      <c r="I29" s="5">
        <f t="shared" si="0"/>
        <v>0.1</v>
      </c>
    </row>
    <row r="30" spans="1:9" x14ac:dyDescent="0.25">
      <c r="A30" t="s">
        <v>154</v>
      </c>
      <c r="B30" s="2">
        <v>45079</v>
      </c>
      <c r="C30" s="2" t="s">
        <v>90</v>
      </c>
      <c r="D30" s="3" t="s">
        <v>155</v>
      </c>
      <c r="E30" t="s">
        <v>122</v>
      </c>
      <c r="F30" t="s">
        <v>115</v>
      </c>
      <c r="G30" s="4">
        <v>4125</v>
      </c>
      <c r="H30" s="4">
        <v>410</v>
      </c>
      <c r="I30" s="7">
        <f>IFERROR(H30/G30,0)</f>
        <v>9.9393939393939396E-2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zoomScaleNormal="100" workbookViewId="0">
      <selection activeCell="F15" sqref="F15"/>
    </sheetView>
  </sheetViews>
  <sheetFormatPr defaultColWidth="11" defaultRowHeight="15.75" x14ac:dyDescent="0.25"/>
  <cols>
    <col min="1" max="1" width="32.375" bestFit="1" customWidth="1"/>
    <col min="2" max="2" width="9.75" customWidth="1"/>
    <col min="3" max="3" width="32.375" bestFit="1" customWidth="1"/>
    <col min="4" max="4" width="15.375" bestFit="1" customWidth="1"/>
  </cols>
  <sheetData>
    <row r="1" spans="1:4" x14ac:dyDescent="0.25">
      <c r="A1" s="6" t="s">
        <v>4</v>
      </c>
      <c r="B1" s="6" t="s">
        <v>78</v>
      </c>
      <c r="C1" s="6" t="s">
        <v>153</v>
      </c>
      <c r="D1" s="6" t="s">
        <v>44</v>
      </c>
    </row>
    <row r="2" spans="1:4" x14ac:dyDescent="0.25">
      <c r="A2" s="3" t="s">
        <v>16</v>
      </c>
      <c r="B2" t="s">
        <v>79</v>
      </c>
      <c r="C2" s="3" t="s">
        <v>16</v>
      </c>
      <c r="D2">
        <f ca="1">VLOOKUP(D2, client_dim!$B$2:$C$29,2,FALSE)</f>
        <v>0</v>
      </c>
    </row>
    <row r="3" spans="1:4" x14ac:dyDescent="0.25">
      <c r="A3" s="3" t="s">
        <v>34</v>
      </c>
      <c r="B3" t="s">
        <v>80</v>
      </c>
      <c r="C3" s="3" t="s">
        <v>34</v>
      </c>
      <c r="D3" t="s">
        <v>59</v>
      </c>
    </row>
    <row r="4" spans="1:4" x14ac:dyDescent="0.25">
      <c r="A4" s="3" t="s">
        <v>24</v>
      </c>
      <c r="B4" t="s">
        <v>81</v>
      </c>
      <c r="C4" s="3" t="s">
        <v>24</v>
      </c>
      <c r="D4" t="s">
        <v>7</v>
      </c>
    </row>
    <row r="5" spans="1:4" x14ac:dyDescent="0.25">
      <c r="A5" s="3" t="s">
        <v>33</v>
      </c>
      <c r="B5" t="s">
        <v>82</v>
      </c>
      <c r="C5" s="3" t="s">
        <v>33</v>
      </c>
      <c r="D5" t="s">
        <v>58</v>
      </c>
    </row>
    <row r="6" spans="1:4" x14ac:dyDescent="0.25">
      <c r="A6" s="3" t="s">
        <v>32</v>
      </c>
      <c r="B6" t="s">
        <v>83</v>
      </c>
      <c r="C6" s="3" t="s">
        <v>32</v>
      </c>
      <c r="D6" t="s">
        <v>57</v>
      </c>
    </row>
    <row r="7" spans="1:4" x14ac:dyDescent="0.25">
      <c r="A7" s="3" t="s">
        <v>23</v>
      </c>
      <c r="B7" t="s">
        <v>84</v>
      </c>
      <c r="C7" s="3" t="s">
        <v>23</v>
      </c>
      <c r="D7" t="s">
        <v>51</v>
      </c>
    </row>
    <row r="8" spans="1:4" x14ac:dyDescent="0.25">
      <c r="A8" s="3" t="s">
        <v>38</v>
      </c>
      <c r="B8" t="s">
        <v>85</v>
      </c>
      <c r="C8" s="3" t="s">
        <v>38</v>
      </c>
      <c r="D8" t="s">
        <v>63</v>
      </c>
    </row>
    <row r="9" spans="1:4" x14ac:dyDescent="0.25">
      <c r="A9" s="3" t="s">
        <v>27</v>
      </c>
      <c r="B9" t="s">
        <v>86</v>
      </c>
      <c r="C9" s="3" t="s">
        <v>27</v>
      </c>
      <c r="D9" t="s">
        <v>53</v>
      </c>
    </row>
    <row r="10" spans="1:4" x14ac:dyDescent="0.25">
      <c r="A10" s="3" t="s">
        <v>39</v>
      </c>
      <c r="B10" t="s">
        <v>87</v>
      </c>
      <c r="C10" s="3" t="s">
        <v>39</v>
      </c>
      <c r="D10" t="s">
        <v>64</v>
      </c>
    </row>
    <row r="11" spans="1:4" x14ac:dyDescent="0.25">
      <c r="A11" s="3" t="s">
        <v>29</v>
      </c>
      <c r="B11" t="s">
        <v>88</v>
      </c>
      <c r="C11" s="3" t="s">
        <v>29</v>
      </c>
      <c r="D11" t="s">
        <v>9</v>
      </c>
    </row>
    <row r="12" spans="1:4" x14ac:dyDescent="0.25">
      <c r="A12" s="3" t="s">
        <v>41</v>
      </c>
      <c r="B12" t="s">
        <v>89</v>
      </c>
      <c r="C12" s="3" t="s">
        <v>41</v>
      </c>
      <c r="D12" t="s">
        <v>66</v>
      </c>
    </row>
    <row r="13" spans="1:4" x14ac:dyDescent="0.25">
      <c r="A13" s="3" t="s">
        <v>42</v>
      </c>
      <c r="B13" t="s">
        <v>90</v>
      </c>
      <c r="C13" s="3" t="s">
        <v>42</v>
      </c>
      <c r="D13" t="s">
        <v>67</v>
      </c>
    </row>
    <row r="14" spans="1:4" x14ac:dyDescent="0.25">
      <c r="A14" s="3" t="s">
        <v>36</v>
      </c>
      <c r="B14" t="s">
        <v>91</v>
      </c>
      <c r="C14" s="3" t="s">
        <v>36</v>
      </c>
      <c r="D14" t="s">
        <v>61</v>
      </c>
    </row>
    <row r="15" spans="1:4" x14ac:dyDescent="0.25">
      <c r="A15" s="3" t="s">
        <v>35</v>
      </c>
      <c r="B15" t="s">
        <v>92</v>
      </c>
      <c r="C15" s="3" t="s">
        <v>35</v>
      </c>
      <c r="D15" t="s">
        <v>60</v>
      </c>
    </row>
    <row r="16" spans="1:4" x14ac:dyDescent="0.25">
      <c r="A16" s="3" t="s">
        <v>40</v>
      </c>
      <c r="B16" t="s">
        <v>93</v>
      </c>
      <c r="C16" s="3" t="s">
        <v>40</v>
      </c>
      <c r="D16" t="s">
        <v>65</v>
      </c>
    </row>
    <row r="17" spans="1:4" x14ac:dyDescent="0.25">
      <c r="A17" s="3" t="s">
        <v>21</v>
      </c>
      <c r="B17" t="s">
        <v>94</v>
      </c>
      <c r="C17" s="3" t="s">
        <v>21</v>
      </c>
      <c r="D17" t="s">
        <v>49</v>
      </c>
    </row>
    <row r="18" spans="1:4" x14ac:dyDescent="0.25">
      <c r="A18" s="3" t="s">
        <v>43</v>
      </c>
      <c r="B18" t="s">
        <v>95</v>
      </c>
      <c r="C18" s="3" t="s">
        <v>43</v>
      </c>
      <c r="D18" t="s">
        <v>10</v>
      </c>
    </row>
    <row r="19" spans="1:4" x14ac:dyDescent="0.25">
      <c r="A19" s="3" t="s">
        <v>28</v>
      </c>
      <c r="B19" t="s">
        <v>96</v>
      </c>
      <c r="C19" s="3" t="s">
        <v>28</v>
      </c>
      <c r="D19" t="s">
        <v>54</v>
      </c>
    </row>
    <row r="20" spans="1:4" x14ac:dyDescent="0.25">
      <c r="A20" s="3" t="s">
        <v>37</v>
      </c>
      <c r="B20" t="s">
        <v>97</v>
      </c>
      <c r="C20" s="3" t="s">
        <v>37</v>
      </c>
      <c r="D20" t="s">
        <v>62</v>
      </c>
    </row>
    <row r="21" spans="1:4" x14ac:dyDescent="0.25">
      <c r="A21" s="3" t="s">
        <v>22</v>
      </c>
      <c r="B21" t="s">
        <v>98</v>
      </c>
      <c r="C21" s="3" t="s">
        <v>22</v>
      </c>
      <c r="D21" t="s">
        <v>50</v>
      </c>
    </row>
    <row r="22" spans="1:4" x14ac:dyDescent="0.25">
      <c r="A22" s="3" t="s">
        <v>18</v>
      </c>
      <c r="B22" t="s">
        <v>99</v>
      </c>
      <c r="C22" s="3" t="s">
        <v>18</v>
      </c>
      <c r="D22" t="s">
        <v>47</v>
      </c>
    </row>
    <row r="23" spans="1:4" x14ac:dyDescent="0.25">
      <c r="A23" s="3" t="s">
        <v>26</v>
      </c>
      <c r="B23" t="s">
        <v>100</v>
      </c>
      <c r="C23" s="3" t="s">
        <v>26</v>
      </c>
      <c r="D23" t="s">
        <v>52</v>
      </c>
    </row>
    <row r="24" spans="1:4" x14ac:dyDescent="0.25">
      <c r="A24" s="3" t="s">
        <v>17</v>
      </c>
      <c r="B24" t="s">
        <v>101</v>
      </c>
      <c r="C24" s="3" t="s">
        <v>17</v>
      </c>
      <c r="D24" t="s">
        <v>46</v>
      </c>
    </row>
    <row r="25" spans="1:4" x14ac:dyDescent="0.25">
      <c r="A25" s="3" t="s">
        <v>20</v>
      </c>
      <c r="B25" t="s">
        <v>102</v>
      </c>
      <c r="C25" s="3" t="s">
        <v>20</v>
      </c>
      <c r="D25" t="s">
        <v>48</v>
      </c>
    </row>
    <row r="26" spans="1:4" x14ac:dyDescent="0.25">
      <c r="A26" s="3" t="s">
        <v>31</v>
      </c>
      <c r="B26" t="s">
        <v>103</v>
      </c>
      <c r="C26" s="3" t="s">
        <v>31</v>
      </c>
      <c r="D26" t="s">
        <v>56</v>
      </c>
    </row>
    <row r="27" spans="1:4" x14ac:dyDescent="0.25">
      <c r="A27" s="3" t="s">
        <v>19</v>
      </c>
      <c r="B27" t="s">
        <v>104</v>
      </c>
      <c r="C27" s="3" t="s">
        <v>19</v>
      </c>
      <c r="D27" t="s">
        <v>6</v>
      </c>
    </row>
    <row r="28" spans="1:4" x14ac:dyDescent="0.25">
      <c r="A28" s="3" t="s">
        <v>30</v>
      </c>
      <c r="B28" t="s">
        <v>105</v>
      </c>
      <c r="C28" s="3" t="s">
        <v>30</v>
      </c>
      <c r="D28" t="s">
        <v>55</v>
      </c>
    </row>
    <row r="29" spans="1:4" x14ac:dyDescent="0.25">
      <c r="A29" s="3" t="s">
        <v>25</v>
      </c>
      <c r="B29" t="s">
        <v>106</v>
      </c>
      <c r="C29" s="3" t="s">
        <v>25</v>
      </c>
      <c r="D29" t="s">
        <v>8</v>
      </c>
    </row>
  </sheetData>
  <sortState ref="B3:D30">
    <sortCondition ref="C3:C30"/>
    <sortCondition ref="B3:B30"/>
    <sortCondition ref="D3:D30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zoomScale="115" zoomScaleNormal="115" workbookViewId="0">
      <selection sqref="A1:B5"/>
    </sheetView>
  </sheetViews>
  <sheetFormatPr defaultColWidth="11" defaultRowHeight="15.75" x14ac:dyDescent="0.25"/>
  <cols>
    <col min="1" max="1" width="8.75" bestFit="1" customWidth="1"/>
    <col min="2" max="2" width="9.375" customWidth="1"/>
  </cols>
  <sheetData>
    <row r="1" spans="1:2" x14ac:dyDescent="0.25">
      <c r="A1" s="6" t="s">
        <v>68</v>
      </c>
      <c r="B1" s="6" t="s">
        <v>107</v>
      </c>
    </row>
    <row r="2" spans="1:2" x14ac:dyDescent="0.25">
      <c r="A2" t="s">
        <v>76</v>
      </c>
      <c r="B2" t="s">
        <v>119</v>
      </c>
    </row>
    <row r="3" spans="1:2" x14ac:dyDescent="0.25">
      <c r="A3" t="s">
        <v>74</v>
      </c>
      <c r="B3" t="s">
        <v>120</v>
      </c>
    </row>
    <row r="4" spans="1:2" x14ac:dyDescent="0.25">
      <c r="A4" t="s">
        <v>72</v>
      </c>
      <c r="B4" t="s">
        <v>121</v>
      </c>
    </row>
    <row r="5" spans="1:2" x14ac:dyDescent="0.25">
      <c r="A5" t="s">
        <v>70</v>
      </c>
      <c r="B5" t="s">
        <v>122</v>
      </c>
    </row>
  </sheetData>
  <sortState ref="A3:A7">
    <sortCondition ref="A3"/>
  </sortState>
  <conditionalFormatting sqref="A2:A5">
    <cfRule type="duplicateValues" dxfId="15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zoomScale="115" zoomScaleNormal="115" workbookViewId="0">
      <selection sqref="A1:B6"/>
    </sheetView>
  </sheetViews>
  <sheetFormatPr defaultColWidth="11" defaultRowHeight="15.75" x14ac:dyDescent="0.25"/>
  <cols>
    <col min="1" max="1" width="9.75" customWidth="1"/>
    <col min="2" max="2" width="12.5" customWidth="1"/>
  </cols>
  <sheetData>
    <row r="1" spans="1:2" x14ac:dyDescent="0.25">
      <c r="A1" s="6" t="s">
        <v>11</v>
      </c>
      <c r="B1" s="6" t="s">
        <v>108</v>
      </c>
    </row>
    <row r="2" spans="1:2" x14ac:dyDescent="0.25">
      <c r="A2" t="s">
        <v>12</v>
      </c>
      <c r="B2" t="s">
        <v>114</v>
      </c>
    </row>
    <row r="3" spans="1:2" x14ac:dyDescent="0.25">
      <c r="A3" t="s">
        <v>14</v>
      </c>
      <c r="B3" t="s">
        <v>115</v>
      </c>
    </row>
    <row r="4" spans="1:2" x14ac:dyDescent="0.25">
      <c r="A4" t="s">
        <v>77</v>
      </c>
      <c r="B4" t="s">
        <v>116</v>
      </c>
    </row>
    <row r="5" spans="1:2" x14ac:dyDescent="0.25">
      <c r="A5" t="s">
        <v>13</v>
      </c>
      <c r="B5" t="s">
        <v>117</v>
      </c>
    </row>
    <row r="6" spans="1:2" x14ac:dyDescent="0.25">
      <c r="A6" t="s">
        <v>15</v>
      </c>
      <c r="B6" t="s">
        <v>118</v>
      </c>
    </row>
  </sheetData>
  <sortState ref="A3:B7">
    <sortCondition ref="A7"/>
  </sortState>
  <conditionalFormatting sqref="A2:A7">
    <cfRule type="duplicateValues" dxfId="14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zoomScale="115" zoomScaleNormal="115" workbookViewId="0">
      <selection sqref="A1:B5"/>
    </sheetView>
  </sheetViews>
  <sheetFormatPr defaultColWidth="11" defaultRowHeight="15.75" x14ac:dyDescent="0.25"/>
  <cols>
    <col min="1" max="1" width="12.25" customWidth="1"/>
    <col min="2" max="2" width="9" customWidth="1"/>
  </cols>
  <sheetData>
    <row r="1" spans="1:2" x14ac:dyDescent="0.25">
      <c r="A1" s="6" t="s">
        <v>5</v>
      </c>
      <c r="B1" s="6" t="s">
        <v>109</v>
      </c>
    </row>
    <row r="2" spans="1:2" x14ac:dyDescent="0.25">
      <c r="A2" t="s">
        <v>75</v>
      </c>
      <c r="B2" t="s">
        <v>110</v>
      </c>
    </row>
    <row r="3" spans="1:2" x14ac:dyDescent="0.25">
      <c r="A3" t="s">
        <v>69</v>
      </c>
      <c r="B3" t="s">
        <v>111</v>
      </c>
    </row>
    <row r="4" spans="1:2" x14ac:dyDescent="0.25">
      <c r="A4" t="s">
        <v>73</v>
      </c>
      <c r="B4" t="s">
        <v>112</v>
      </c>
    </row>
    <row r="5" spans="1:2" x14ac:dyDescent="0.25">
      <c r="A5" t="s">
        <v>71</v>
      </c>
      <c r="B5" t="s">
        <v>113</v>
      </c>
    </row>
  </sheetData>
  <sortState ref="A3:A6">
    <sortCondition ref="A3"/>
  </sortState>
  <conditionalFormatting sqref="A2:A5">
    <cfRule type="duplicateValues" dxfId="13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376FD07A-116A-4534-8766-AF9C4A293F43}">
  <ds:schemaRefs/>
</ds:datastoreItem>
</file>

<file path=customXml/itemProps2.xml><?xml version="1.0" encoding="utf-8"?>
<ds:datastoreItem xmlns:ds="http://schemas.openxmlformats.org/officeDocument/2006/customXml" ds:itemID="{5CCF4F63-F0F9-4C2B-8DA3-6AF57DB595AC}">
  <ds:schemaRefs/>
</ds:datastoreItem>
</file>

<file path=customXml/itemProps3.xml><?xml version="1.0" encoding="utf-8"?>
<ds:datastoreItem xmlns:ds="http://schemas.openxmlformats.org/officeDocument/2006/customXml" ds:itemID="{5859DA3F-6E43-440E-9C8B-8E27A7039478}">
  <ds:schemaRefs/>
</ds:datastoreItem>
</file>

<file path=customXml/itemProps4.xml><?xml version="1.0" encoding="utf-8"?>
<ds:datastoreItem xmlns:ds="http://schemas.openxmlformats.org/officeDocument/2006/customXml" ds:itemID="{7010E50F-56D7-4FB7-B375-1490436F2DFA}">
  <ds:schemaRefs/>
</ds:datastoreItem>
</file>

<file path=customXml/itemProps5.xml><?xml version="1.0" encoding="utf-8"?>
<ds:datastoreItem xmlns:ds="http://schemas.openxmlformats.org/officeDocument/2006/customXml" ds:itemID="{D98E2AEF-FD56-4543-85F4-835B788E2C64}">
  <ds:schemaRefs/>
</ds:datastoreItem>
</file>

<file path=customXml/itemProps6.xml><?xml version="1.0" encoding="utf-8"?>
<ds:datastoreItem xmlns:ds="http://schemas.openxmlformats.org/officeDocument/2006/customXml" ds:itemID="{B754BB3C-57B1-423C-BFEB-4F538D84332A}">
  <ds:schemaRefs/>
</ds:datastoreItem>
</file>

<file path=customXml/itemProps7.xml><?xml version="1.0" encoding="utf-8"?>
<ds:datastoreItem xmlns:ds="http://schemas.openxmlformats.org/officeDocument/2006/customXml" ds:itemID="{A2687A47-2FDF-4BE1-9D20-9841B671C10A}">
  <ds:schemaRefs/>
</ds:datastoreItem>
</file>

<file path=customXml/itemProps8.xml><?xml version="1.0" encoding="utf-8"?>
<ds:datastoreItem xmlns:ds="http://schemas.openxmlformats.org/officeDocument/2006/customXml" ds:itemID="{06B2E615-D6F0-4105-8166-C26EE8FCB75A}">
  <ds:schemaRefs/>
</ds:datastoreItem>
</file>

<file path=customXml/itemProps9.xml><?xml version="1.0" encoding="utf-8"?>
<ds:datastoreItem xmlns:ds="http://schemas.openxmlformats.org/officeDocument/2006/customXml" ds:itemID="{9BFC36E9-43B5-4BEB-B647-770B64124CB8}">
  <ds:schemaRefs/>
</ds:datastoreItem>
</file>

<file path=customXml/itemProps10.xml><?xml version="1.0" encoding="utf-8"?>
<ds:datastoreItem xmlns:ds="http://schemas.openxmlformats.org/officeDocument/2006/customXml" ds:itemID="{07431370-3B4B-436E-AC0C-B50F1C4F33D5}">
  <ds:schemaRefs/>
</ds:datastoreItem>
</file>

<file path=customXml/itemProps11.xml><?xml version="1.0" encoding="utf-8"?>
<ds:datastoreItem xmlns:ds="http://schemas.openxmlformats.org/officeDocument/2006/customXml" ds:itemID="{ED798B40-4E17-4599-BC4A-CFDB5CBB3AAE}">
  <ds:schemaRefs/>
</ds:datastoreItem>
</file>

<file path=customXml/itemProps12.xml><?xml version="1.0" encoding="utf-8"?>
<ds:datastoreItem xmlns:ds="http://schemas.openxmlformats.org/officeDocument/2006/customXml" ds:itemID="{3C52E7BF-B7C1-4C8A-BDBF-3B7DEFA7B771}">
  <ds:schemaRefs/>
</ds:datastoreItem>
</file>

<file path=customXml/itemProps13.xml><?xml version="1.0" encoding="utf-8"?>
<ds:datastoreItem xmlns:ds="http://schemas.openxmlformats.org/officeDocument/2006/customXml" ds:itemID="{1DF07A9D-4500-4C83-B5EC-BD4E1A2BEE74}">
  <ds:schemaRefs/>
</ds:datastoreItem>
</file>

<file path=customXml/itemProps14.xml><?xml version="1.0" encoding="utf-8"?>
<ds:datastoreItem xmlns:ds="http://schemas.openxmlformats.org/officeDocument/2006/customXml" ds:itemID="{5E5611D6-8CAB-4C65-90A7-5F8F2E3E6AD1}">
  <ds:schemaRefs/>
</ds:datastoreItem>
</file>

<file path=customXml/itemProps15.xml><?xml version="1.0" encoding="utf-8"?>
<ds:datastoreItem xmlns:ds="http://schemas.openxmlformats.org/officeDocument/2006/customXml" ds:itemID="{CE09DCA1-BD78-44F3-B0C4-F876C8C63FCB}">
  <ds:schemaRefs/>
</ds:datastoreItem>
</file>

<file path=customXml/itemProps16.xml><?xml version="1.0" encoding="utf-8"?>
<ds:datastoreItem xmlns:ds="http://schemas.openxmlformats.org/officeDocument/2006/customXml" ds:itemID="{E6CB5C24-FA32-4530-A6BF-1B651CE2A1F2}">
  <ds:schemaRefs/>
</ds:datastoreItem>
</file>

<file path=customXml/itemProps17.xml><?xml version="1.0" encoding="utf-8"?>
<ds:datastoreItem xmlns:ds="http://schemas.openxmlformats.org/officeDocument/2006/customXml" ds:itemID="{EE97CCA4-DE40-418B-93D5-9D3F6E7EB31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Data Cleaning (backup) </vt:lpstr>
      <vt:lpstr>revenue_fact</vt:lpstr>
      <vt:lpstr>client_dim</vt:lpstr>
      <vt:lpstr>state_dim</vt:lpstr>
      <vt:lpstr>payment_dim</vt:lpstr>
      <vt:lpstr>department_dim</vt:lpstr>
      <vt:lpstr>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COMLAB</cp:lastModifiedBy>
  <dcterms:created xsi:type="dcterms:W3CDTF">2023-05-29T07:26:35Z</dcterms:created>
  <dcterms:modified xsi:type="dcterms:W3CDTF">2026-02-13T02:39:01Z</dcterms:modified>
</cp:coreProperties>
</file>